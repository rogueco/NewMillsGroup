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 filterPrivacy="1"/>
  <mc:AlternateContent xmlns:mc="http://schemas.openxmlformats.org/markup-compatibility/2006">
    <mc:Choice Requires="x15">
      <x15ac:absPath xmlns:x15ac="http://schemas.microsoft.com/office/spreadsheetml/2010/11/ac" url="/Users/tomfletcher/Desktop/"/>
    </mc:Choice>
  </mc:AlternateContent>
  <bookViews>
    <workbookView xWindow="40940" yWindow="4540" windowWidth="28800" windowHeight="18000"/>
  </bookViews>
  <sheets>
    <sheet name="Sheet1" sheetId="3" r:id="rId1"/>
  </sheets>
  <definedNames>
    <definedName name="_xlnm.Print_Area" localSheetId="0">Sheet1!$A$1:$Q$46</definedName>
  </definedNames>
  <calcPr calcId="15251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3" l="1"/>
  <c r="N17" i="3"/>
  <c r="L13" i="3"/>
  <c r="L14" i="3"/>
  <c r="N14" i="3"/>
  <c r="L15" i="3"/>
  <c r="N15" i="3"/>
  <c r="L16" i="3"/>
  <c r="N16" i="3"/>
  <c r="L17" i="3"/>
  <c r="L18" i="3"/>
  <c r="N18" i="3"/>
  <c r="L19" i="3"/>
  <c r="N19" i="3"/>
  <c r="L20" i="3"/>
  <c r="N20" i="3"/>
  <c r="L21" i="3"/>
  <c r="L22" i="3"/>
  <c r="N22" i="3"/>
  <c r="L23" i="3"/>
  <c r="N23" i="3"/>
  <c r="L24" i="3"/>
  <c r="N24" i="3"/>
  <c r="L25" i="3"/>
  <c r="N25" i="3"/>
  <c r="L26" i="3"/>
  <c r="N26" i="3"/>
  <c r="L27" i="3"/>
  <c r="N27" i="3"/>
  <c r="L28" i="3"/>
  <c r="N28" i="3"/>
  <c r="L29" i="3"/>
  <c r="N29" i="3"/>
  <c r="L30" i="3"/>
  <c r="N30" i="3"/>
  <c r="L31" i="3"/>
  <c r="N31" i="3"/>
  <c r="L32" i="3"/>
  <c r="N32" i="3"/>
  <c r="L33" i="3"/>
  <c r="N33" i="3"/>
  <c r="L34" i="3"/>
  <c r="N34" i="3"/>
  <c r="L35" i="3"/>
  <c r="N35" i="3"/>
  <c r="L36" i="3"/>
  <c r="N36" i="3"/>
  <c r="L37" i="3"/>
  <c r="N37" i="3"/>
  <c r="L38" i="3"/>
  <c r="N38" i="3"/>
  <c r="L39" i="3"/>
  <c r="N39" i="3"/>
  <c r="L40" i="3"/>
  <c r="N40" i="3"/>
  <c r="L41" i="3"/>
  <c r="N41" i="3"/>
  <c r="L42" i="3"/>
  <c r="N42" i="3"/>
  <c r="L43" i="3"/>
  <c r="N43" i="3"/>
  <c r="L44" i="3"/>
  <c r="N44" i="3"/>
  <c r="L45" i="3"/>
  <c r="N45" i="3"/>
  <c r="L12" i="3"/>
  <c r="N12" i="3"/>
  <c r="L10" i="3"/>
  <c r="N13" i="3"/>
  <c r="N10" i="3"/>
</calcChain>
</file>

<file path=xl/sharedStrings.xml><?xml version="1.0" encoding="utf-8"?>
<sst xmlns="http://schemas.openxmlformats.org/spreadsheetml/2006/main" count="82" uniqueCount="81">
  <si>
    <t>Description</t>
  </si>
  <si>
    <t>Unit Cost</t>
  </si>
  <si>
    <t>Total Cost</t>
  </si>
  <si>
    <t>New Mills</t>
  </si>
  <si>
    <t>North Witham Road</t>
  </si>
  <si>
    <t>South Witham</t>
  </si>
  <si>
    <t>Lincolnshire</t>
  </si>
  <si>
    <t>NG33 5QQ</t>
  </si>
  <si>
    <t>New Mills Group Limited</t>
  </si>
  <si>
    <t>SKU</t>
  </si>
  <si>
    <t>IMAGE</t>
  </si>
  <si>
    <t>DRK7970-C01-1</t>
  </si>
  <si>
    <t>LACOSTE SUN HAT - White - 1</t>
  </si>
  <si>
    <t>LACOSTE L/S/POLO</t>
  </si>
  <si>
    <t>L3H0942-423-7</t>
  </si>
  <si>
    <t>LACOSTE, WHITE, SWIMMING TRUNKS</t>
  </si>
  <si>
    <t>TOTAL</t>
  </si>
  <si>
    <t>DEF3535-UZU</t>
  </si>
  <si>
    <t>0018120-066</t>
  </si>
  <si>
    <t>LACOSTE MENS ESS SINGLET - Black</t>
  </si>
  <si>
    <t>LACOSTE AGNES HALTERNECK DRESS - Azure</t>
  </si>
  <si>
    <t>Size</t>
  </si>
  <si>
    <t xml:space="preserve">LACOSTE JASMINE CORD SKIRT - Brown </t>
  </si>
  <si>
    <t>DJF9246-FSB</t>
  </si>
  <si>
    <t xml:space="preserve">LACOSTE MENS SHORTS - Navy </t>
  </si>
  <si>
    <t>DGH0944-KSN</t>
  </si>
  <si>
    <t>FH1908-WHITE-</t>
  </si>
  <si>
    <t xml:space="preserve">LACOSTE CHINOS NAVY </t>
  </si>
  <si>
    <t xml:space="preserve">LACOSTE RELAX FIT SHORTS WHITE </t>
  </si>
  <si>
    <t>HH8235-NAVY</t>
  </si>
  <si>
    <t>L1312-476-MAR</t>
  </si>
  <si>
    <t xml:space="preserve">LACOSTE POLO SHIRT  MAROON </t>
  </si>
  <si>
    <t>L1312/S6Z-GRASS GREEN</t>
  </si>
  <si>
    <t>L1M0281-UYY</t>
  </si>
  <si>
    <t>LACOSTE SICKERT TOWELLING SKIRT - Orange -</t>
  </si>
  <si>
    <t>L1M0430-184</t>
  </si>
  <si>
    <t>LACOSTE CAPTAIN CAMISOLE - Ansel</t>
  </si>
  <si>
    <t xml:space="preserve">LACOSTE TWINGO T- SHIRT - Grey </t>
  </si>
  <si>
    <t>L1M0486-FOS</t>
  </si>
  <si>
    <t xml:space="preserve">LACOSTE TCHAGGA ROLL NECK - Stripe </t>
  </si>
  <si>
    <t>L1M0545-066</t>
  </si>
  <si>
    <t>LACOSTE LITTLE CROSS OVER DRESS - White</t>
  </si>
  <si>
    <t>L1M0568-050</t>
  </si>
  <si>
    <t xml:space="preserve">LACOSTE MENS COTTON JUMPER - CORAL </t>
  </si>
  <si>
    <t>L3H0494-CORAL</t>
  </si>
  <si>
    <t>LACOSTE MENS BIRZAI CARDIGAN - Anthracite</t>
  </si>
  <si>
    <t>LACOSTE MOREWE CARDGIAN - Red</t>
  </si>
  <si>
    <t>L3H1035-049</t>
  </si>
  <si>
    <t xml:space="preserve">LACOSTE MENS YRIES WOOL JUMPER - Orange </t>
  </si>
  <si>
    <t>L3H1043-OU</t>
  </si>
  <si>
    <t>LACOSTE MENS STRIPE WOOL CARDIGAN - Grey</t>
  </si>
  <si>
    <t>L3H1103-OUT</t>
  </si>
  <si>
    <t xml:space="preserve">LACOSTE ARGYLE MENS JUMPER - NAVY/PURPLE- </t>
  </si>
  <si>
    <t>L3H1105-048</t>
  </si>
  <si>
    <t xml:space="preserve">LACOSTE LAMBA STRIPE JEAN - Stripe </t>
  </si>
  <si>
    <t>L5M0466-MAD</t>
  </si>
  <si>
    <t xml:space="preserve">LACOSTE FINDE JEANS - Pink </t>
  </si>
  <si>
    <t>L5M0468-MAD</t>
  </si>
  <si>
    <t>LACOSTE PLATINAL JEANS - Washed</t>
  </si>
  <si>
    <t>L5M0505-556</t>
  </si>
  <si>
    <t xml:space="preserve">LACOSTE ALIBI JEANS - Sudan </t>
  </si>
  <si>
    <t>L5M0529-046</t>
  </si>
  <si>
    <t>LACOSTE PATRICIA TROUSERS - White</t>
  </si>
  <si>
    <t>L5M0537-050</t>
  </si>
  <si>
    <t xml:space="preserve">LACOSTE CHUSCA TROUSERS - Sudan </t>
  </si>
  <si>
    <t>L5M0570-046</t>
  </si>
  <si>
    <t xml:space="preserve">LACOSTE CHUSCA TROUSERS - White </t>
  </si>
  <si>
    <t>L5M0570-050</t>
  </si>
  <si>
    <t xml:space="preserve">LACOSTE CHUSCA TROUSERS - Khaki </t>
  </si>
  <si>
    <t>L5M0570-F8Z</t>
  </si>
  <si>
    <t xml:space="preserve">LACOSTE NAIRA BERMUDA SHORTS - Black </t>
  </si>
  <si>
    <t>L5M0578-066</t>
  </si>
  <si>
    <t xml:space="preserve">LACOSTE ERICA CHINO - Sahara </t>
  </si>
  <si>
    <t>L5M0596-131</t>
  </si>
  <si>
    <t xml:space="preserve">LACOSTE CLOE JEANS - Marino </t>
  </si>
  <si>
    <t>L5M0610-048</t>
  </si>
  <si>
    <t xml:space="preserve">LACOSTE GREGORIO SKIRT- Khaki </t>
  </si>
  <si>
    <t>L5M0661-SKB</t>
  </si>
  <si>
    <t xml:space="preserve">LACOSTE COMO TRENCH COAT - Spa </t>
  </si>
  <si>
    <t>L6M0288-SPA</t>
  </si>
  <si>
    <t>MH9799-001-WHITE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</si>
</sst>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1" fillId="2" borderId="5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pn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11</xdr:row>
      <xdr:rowOff>55054</xdr:rowOff>
    </xdr:from>
    <xdr:to>
      <xdr:col>0</xdr:col>
      <xdr:colOff>1816099</xdr:colOff>
      <xdr:row>11</xdr:row>
      <xdr:rowOff>1689100</xdr:rowOff>
    </xdr:to>
    <xdr:pic>
      <xdr:nvPicPr>
        <xdr:cNvPr id="11" name="Picture 10" descr="https://s3-eu-west-1.amazonaws.com/images.linnlive.com/206a45a5f26383c387181e72d15a5e3a/2ee7596b-df92-487e-bb07-26fd910adb90.jpg">
          <a:extLst>
            <a:ext uri="{FF2B5EF4-FFF2-40B4-BE49-F238E27FC236}">
              <a16:creationId xmlns="" xmlns:a16="http://schemas.microsoft.com/office/drawing/2014/main" id="{75EB8913-BF7A-3849-8537-D62D745E9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150554"/>
          <a:ext cx="1244599" cy="1634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698501</xdr:colOff>
      <xdr:row>12</xdr:row>
      <xdr:rowOff>110688</xdr:rowOff>
    </xdr:from>
    <xdr:to>
      <xdr:col>0</xdr:col>
      <xdr:colOff>1765300</xdr:colOff>
      <xdr:row>12</xdr:row>
      <xdr:rowOff>1511299</xdr:rowOff>
    </xdr:to>
    <xdr:pic>
      <xdr:nvPicPr>
        <xdr:cNvPr id="15" name="Picture 14" descr="https://s3-eu-west-1.amazonaws.com/images.linnlive.com/206a45a5f26383c387181e72d15a5e3a/9f1ea95d-5a11-4386-80af-5f1beb6b4494.jpg">
          <a:extLst>
            <a:ext uri="{FF2B5EF4-FFF2-40B4-BE49-F238E27FC236}">
              <a16:creationId xmlns="" xmlns:a16="http://schemas.microsoft.com/office/drawing/2014/main" id="{60016B46-207B-164A-8D39-10507CF07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1" y="3946088"/>
          <a:ext cx="1066799" cy="1400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622301</xdr:colOff>
      <xdr:row>14</xdr:row>
      <xdr:rowOff>257558</xdr:rowOff>
    </xdr:from>
    <xdr:to>
      <xdr:col>0</xdr:col>
      <xdr:colOff>1625600</xdr:colOff>
      <xdr:row>14</xdr:row>
      <xdr:rowOff>1574800</xdr:rowOff>
    </xdr:to>
    <xdr:pic>
      <xdr:nvPicPr>
        <xdr:cNvPr id="16" name="Picture 15" descr="https://s3-eu-west-1.amazonaws.com/images.linnlive.com/206a45a5f26383c387181e72d15a5e3a/aadcc2cb-7726-4f61-88bf-2761d5402e2c.jpg">
          <a:extLst>
            <a:ext uri="{FF2B5EF4-FFF2-40B4-BE49-F238E27FC236}">
              <a16:creationId xmlns="" xmlns:a16="http://schemas.microsoft.com/office/drawing/2014/main" id="{14F8BC83-645C-7B4C-8D7D-2716D89C3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1" y="7572758"/>
          <a:ext cx="1003299" cy="1317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482600</xdr:colOff>
      <xdr:row>16</xdr:row>
      <xdr:rowOff>152400</xdr:rowOff>
    </xdr:from>
    <xdr:to>
      <xdr:col>0</xdr:col>
      <xdr:colOff>1943100</xdr:colOff>
      <xdr:row>16</xdr:row>
      <xdr:rowOff>1612900</xdr:rowOff>
    </xdr:to>
    <xdr:pic>
      <xdr:nvPicPr>
        <xdr:cNvPr id="18" name="Picture 17" descr="https://s3-eu-west-1.amazonaws.com/images.linnlive.com/206a45a5f26383c387181e72d15a5e3a/99a7fa03-aad0-4213-b92b-f41a84ffe0b9.jpg">
          <a:extLst>
            <a:ext uri="{FF2B5EF4-FFF2-40B4-BE49-F238E27FC236}">
              <a16:creationId xmlns="" xmlns:a16="http://schemas.microsoft.com/office/drawing/2014/main" id="{4D178CEA-B5A6-5A4E-A4F8-D8DA15284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10947400"/>
          <a:ext cx="1460500" cy="146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495300</xdr:colOff>
      <xdr:row>17</xdr:row>
      <xdr:rowOff>38100</xdr:rowOff>
    </xdr:from>
    <xdr:to>
      <xdr:col>0</xdr:col>
      <xdr:colOff>1841500</xdr:colOff>
      <xdr:row>17</xdr:row>
      <xdr:rowOff>1384300</xdr:rowOff>
    </xdr:to>
    <xdr:pic>
      <xdr:nvPicPr>
        <xdr:cNvPr id="19" name="Picture 18" descr="https://s3-eu-west-1.amazonaws.com/images.linnlive.com/206a45a5f26383c387181e72d15a5e3a/62e1dfa8-c891-465a-bd30-9c08c4483177.jpg">
          <a:extLst>
            <a:ext uri="{FF2B5EF4-FFF2-40B4-BE49-F238E27FC236}">
              <a16:creationId xmlns="" xmlns:a16="http://schemas.microsoft.com/office/drawing/2014/main" id="{2A0B3EB9-A454-EE4F-8FC0-F4EDC368C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2776200"/>
          <a:ext cx="1346200" cy="134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495300</xdr:colOff>
      <xdr:row>18</xdr:row>
      <xdr:rowOff>114300</xdr:rowOff>
    </xdr:from>
    <xdr:to>
      <xdr:col>0</xdr:col>
      <xdr:colOff>1993900</xdr:colOff>
      <xdr:row>18</xdr:row>
      <xdr:rowOff>1612900</xdr:rowOff>
    </xdr:to>
    <xdr:pic>
      <xdr:nvPicPr>
        <xdr:cNvPr id="20" name="Picture 19" descr="https://s3-eu-west-1.amazonaws.com/images.linnlive.com/206a45a5f26383c387181e72d15a5e3a/98e82898-1ff2-4a2d-b1c1-cabe780fa607.jpg">
          <a:extLst>
            <a:ext uri="{FF2B5EF4-FFF2-40B4-BE49-F238E27FC236}">
              <a16:creationId xmlns="" xmlns:a16="http://schemas.microsoft.com/office/drawing/2014/main" id="{9B332931-8BC4-9C45-AA8C-9620AC5D0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4516100"/>
          <a:ext cx="1498600" cy="149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635001</xdr:colOff>
      <xdr:row>20</xdr:row>
      <xdr:rowOff>12978</xdr:rowOff>
    </xdr:from>
    <xdr:to>
      <xdr:col>0</xdr:col>
      <xdr:colOff>1892301</xdr:colOff>
      <xdr:row>21</xdr:row>
      <xdr:rowOff>0</xdr:rowOff>
    </xdr:to>
    <xdr:pic>
      <xdr:nvPicPr>
        <xdr:cNvPr id="21" name="Picture 20" descr="https://s3-eu-west-1.amazonaws.com/images.linnlive.com/206a45a5f26383c387181e72d15a5e3a/790d2e1d-91fe-4b11-a772-e44484b0f90a.jpg">
          <a:extLst>
            <a:ext uri="{FF2B5EF4-FFF2-40B4-BE49-F238E27FC236}">
              <a16:creationId xmlns="" xmlns:a16="http://schemas.microsoft.com/office/drawing/2014/main" id="{CBBA6C7E-9BF0-204E-8589-8900763BE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1" y="17742178"/>
          <a:ext cx="1257300" cy="1650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647701</xdr:colOff>
      <xdr:row>21</xdr:row>
      <xdr:rowOff>82870</xdr:rowOff>
    </xdr:from>
    <xdr:to>
      <xdr:col>0</xdr:col>
      <xdr:colOff>1803400</xdr:colOff>
      <xdr:row>21</xdr:row>
      <xdr:rowOff>1600199</xdr:rowOff>
    </xdr:to>
    <xdr:pic>
      <xdr:nvPicPr>
        <xdr:cNvPr id="22" name="Picture 21" descr="https://s3-eu-west-1.amazonaws.com/images.linnlive.com/206a45a5f26383c387181e72d15a5e3a/b934cf21-06a1-49f8-ab32-7c1fd7f9770a.jpg">
          <a:extLst>
            <a:ext uri="{FF2B5EF4-FFF2-40B4-BE49-F238E27FC236}">
              <a16:creationId xmlns="" xmlns:a16="http://schemas.microsoft.com/office/drawing/2014/main" id="{AFB54E76-875C-3D48-94C6-84C91E8DC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1" y="19475770"/>
          <a:ext cx="1155699" cy="1517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660400</xdr:colOff>
      <xdr:row>22</xdr:row>
      <xdr:rowOff>114300</xdr:rowOff>
    </xdr:from>
    <xdr:to>
      <xdr:col>0</xdr:col>
      <xdr:colOff>1763141</xdr:colOff>
      <xdr:row>22</xdr:row>
      <xdr:rowOff>1562100</xdr:rowOff>
    </xdr:to>
    <xdr:pic>
      <xdr:nvPicPr>
        <xdr:cNvPr id="23" name="Picture 22" descr="https://s3-eu-west-1.amazonaws.com/images.linnlive.com/206a45a5f26383c387181e72d15a5e3a/fb5630fb-57a5-4147-8a95-bd764972a466.jpg">
          <a:extLst>
            <a:ext uri="{FF2B5EF4-FFF2-40B4-BE49-F238E27FC236}">
              <a16:creationId xmlns="" xmlns:a16="http://schemas.microsoft.com/office/drawing/2014/main" id="{2073704F-AA89-5F4D-97D7-877A9239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21170900"/>
          <a:ext cx="1102741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609601</xdr:colOff>
      <xdr:row>23</xdr:row>
      <xdr:rowOff>50800</xdr:rowOff>
    </xdr:from>
    <xdr:to>
      <xdr:col>0</xdr:col>
      <xdr:colOff>1818747</xdr:colOff>
      <xdr:row>23</xdr:row>
      <xdr:rowOff>1638300</xdr:rowOff>
    </xdr:to>
    <xdr:pic>
      <xdr:nvPicPr>
        <xdr:cNvPr id="24" name="Picture 23" descr="https://s3-eu-west-1.amazonaws.com/images.linnlive.com/206a45a5f26383c387181e72d15a5e3a/0a383254-51b0-4724-9a81-679a11ede973.jpg">
          <a:extLst>
            <a:ext uri="{FF2B5EF4-FFF2-40B4-BE49-F238E27FC236}">
              <a16:creationId xmlns="" xmlns:a16="http://schemas.microsoft.com/office/drawing/2014/main" id="{255D45BE-563D-0643-AB60-6075488E3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22771100"/>
          <a:ext cx="1209146" cy="158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687155</xdr:colOff>
      <xdr:row>24</xdr:row>
      <xdr:rowOff>33068</xdr:rowOff>
    </xdr:from>
    <xdr:to>
      <xdr:col>0</xdr:col>
      <xdr:colOff>1803401</xdr:colOff>
      <xdr:row>24</xdr:row>
      <xdr:rowOff>1498599</xdr:rowOff>
    </xdr:to>
    <xdr:pic>
      <xdr:nvPicPr>
        <xdr:cNvPr id="25" name="Picture 24" descr="https://s3-eu-west-1.amazonaws.com/images.linnlive.com/206a45a5f26383c387181e72d15a5e3a/70334f28-250e-4299-a768-ca03f3ccde7f.jpg">
          <a:extLst>
            <a:ext uri="{FF2B5EF4-FFF2-40B4-BE49-F238E27FC236}">
              <a16:creationId xmlns="" xmlns:a16="http://schemas.microsoft.com/office/drawing/2014/main" id="{E0DFBB34-990F-0046-9909-AAD2F977C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155" y="24417068"/>
          <a:ext cx="1116246" cy="1465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800100</xdr:colOff>
      <xdr:row>26</xdr:row>
      <xdr:rowOff>228600</xdr:rowOff>
    </xdr:from>
    <xdr:to>
      <xdr:col>0</xdr:col>
      <xdr:colOff>1767417</xdr:colOff>
      <xdr:row>26</xdr:row>
      <xdr:rowOff>1498600</xdr:rowOff>
    </xdr:to>
    <xdr:pic>
      <xdr:nvPicPr>
        <xdr:cNvPr id="26" name="Picture 25" descr="https://s3-eu-west-1.amazonaws.com/images.linnlive.com/206a45a5f26383c387181e72d15a5e3a/8ac84c5f-f8a6-4a3b-a1bd-727cbfecc4af.jpg">
          <a:extLst>
            <a:ext uri="{FF2B5EF4-FFF2-40B4-BE49-F238E27FC236}">
              <a16:creationId xmlns="" xmlns:a16="http://schemas.microsoft.com/office/drawing/2014/main" id="{69BD7B31-0A18-2B4A-B4BF-DDBA92C29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9603700"/>
          <a:ext cx="967317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682244</xdr:colOff>
      <xdr:row>27</xdr:row>
      <xdr:rowOff>203200</xdr:rowOff>
    </xdr:from>
    <xdr:to>
      <xdr:col>0</xdr:col>
      <xdr:colOff>1717273</xdr:colOff>
      <xdr:row>27</xdr:row>
      <xdr:rowOff>1562100</xdr:rowOff>
    </xdr:to>
    <xdr:pic>
      <xdr:nvPicPr>
        <xdr:cNvPr id="27" name="Picture 26" descr="https://s3-eu-west-1.amazonaws.com/images.linnlive.com/206a45a5f26383c387181e72d15a5e3a/87ca3eea-dab5-47c7-84b5-76a07fd38e7f.jpg">
          <a:extLst>
            <a:ext uri="{FF2B5EF4-FFF2-40B4-BE49-F238E27FC236}">
              <a16:creationId xmlns="" xmlns:a16="http://schemas.microsoft.com/office/drawing/2014/main" id="{F36E95BF-7B10-C14C-BCC0-9BFF4F862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244" y="31242000"/>
          <a:ext cx="1035029" cy="135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635001</xdr:colOff>
      <xdr:row>28</xdr:row>
      <xdr:rowOff>127000</xdr:rowOff>
    </xdr:from>
    <xdr:to>
      <xdr:col>0</xdr:col>
      <xdr:colOff>1631337</xdr:colOff>
      <xdr:row>28</xdr:row>
      <xdr:rowOff>1435100</xdr:rowOff>
    </xdr:to>
    <xdr:pic>
      <xdr:nvPicPr>
        <xdr:cNvPr id="28" name="Picture 27" descr="https://s3-eu-west-1.amazonaws.com/images.linnlive.com/206a45a5f26383c387181e72d15a5e3a/9fd90bd3-ca8c-4487-8986-1b7ee776465a.jpg">
          <a:extLst>
            <a:ext uri="{FF2B5EF4-FFF2-40B4-BE49-F238E27FC236}">
              <a16:creationId xmlns="" xmlns:a16="http://schemas.microsoft.com/office/drawing/2014/main" id="{A7EB2191-C10E-6042-AC63-68694EFA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1" y="32829500"/>
          <a:ext cx="996336" cy="130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571500</xdr:colOff>
      <xdr:row>29</xdr:row>
      <xdr:rowOff>15240</xdr:rowOff>
    </xdr:from>
    <xdr:to>
      <xdr:col>0</xdr:col>
      <xdr:colOff>1774282</xdr:colOff>
      <xdr:row>29</xdr:row>
      <xdr:rowOff>1592580</xdr:rowOff>
    </xdr:to>
    <xdr:pic>
      <xdr:nvPicPr>
        <xdr:cNvPr id="29" name="Picture 28" descr="https://s3-eu-west-1.amazonaws.com/images.linnlive.com/206a45a5f26383c387181e72d15a5e3a/1d022dd1-f898-417a-a542-dedc9d8b1567.jpg">
          <a:extLst>
            <a:ext uri="{FF2B5EF4-FFF2-40B4-BE49-F238E27FC236}">
              <a16:creationId xmlns="" xmlns:a16="http://schemas.microsoft.com/office/drawing/2014/main" id="{A88A2226-FFB3-2E4A-98F2-2235D678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2605980"/>
          <a:ext cx="1202782" cy="157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800101</xdr:colOff>
      <xdr:row>31</xdr:row>
      <xdr:rowOff>209954</xdr:rowOff>
    </xdr:from>
    <xdr:to>
      <xdr:col>0</xdr:col>
      <xdr:colOff>1752600</xdr:colOff>
      <xdr:row>31</xdr:row>
      <xdr:rowOff>1460500</xdr:rowOff>
    </xdr:to>
    <xdr:pic>
      <xdr:nvPicPr>
        <xdr:cNvPr id="31" name="Picture 30" descr="https://s3-eu-west-1.amazonaws.com/images.linnlive.com/206a45a5f26383c387181e72d15a5e3a/193c70a0-e00c-45df-92c1-3260230c8e83.jpg">
          <a:extLst>
            <a:ext uri="{FF2B5EF4-FFF2-40B4-BE49-F238E27FC236}">
              <a16:creationId xmlns="" xmlns:a16="http://schemas.microsoft.com/office/drawing/2014/main" id="{5B4C30A1-3084-F341-ACAA-39268397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1" y="39567254"/>
          <a:ext cx="952499" cy="1250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711201</xdr:colOff>
      <xdr:row>32</xdr:row>
      <xdr:rowOff>50383</xdr:rowOff>
    </xdr:from>
    <xdr:to>
      <xdr:col>0</xdr:col>
      <xdr:colOff>1727200</xdr:colOff>
      <xdr:row>32</xdr:row>
      <xdr:rowOff>1384299</xdr:rowOff>
    </xdr:to>
    <xdr:pic>
      <xdr:nvPicPr>
        <xdr:cNvPr id="32" name="Picture 31" descr="https://s3-eu-west-1.amazonaws.com/images.linnlive.com/206a45a5f26383c387181e72d15a5e3a/f0e10bc9-3fcc-4c6a-8763-2456d4a452ed.jpg">
          <a:extLst>
            <a:ext uri="{FF2B5EF4-FFF2-40B4-BE49-F238E27FC236}">
              <a16:creationId xmlns="" xmlns:a16="http://schemas.microsoft.com/office/drawing/2014/main" id="{F8F6B2C4-5A2F-2C4C-B153-D0B57D576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1" y="41071383"/>
          <a:ext cx="1015999" cy="1333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673102</xdr:colOff>
      <xdr:row>33</xdr:row>
      <xdr:rowOff>152400</xdr:rowOff>
    </xdr:from>
    <xdr:to>
      <xdr:col>0</xdr:col>
      <xdr:colOff>1669438</xdr:colOff>
      <xdr:row>33</xdr:row>
      <xdr:rowOff>1460499</xdr:rowOff>
    </xdr:to>
    <xdr:pic>
      <xdr:nvPicPr>
        <xdr:cNvPr id="33" name="Picture 32" descr="https://s3-eu-west-1.amazonaws.com/images.linnlive.com/206a45a5f26383c387181e72d15a5e3a/c9853fd4-3a26-4c45-b7ce-292b8c882ed2.jpg">
          <a:extLst>
            <a:ext uri="{FF2B5EF4-FFF2-40B4-BE49-F238E27FC236}">
              <a16:creationId xmlns="" xmlns:a16="http://schemas.microsoft.com/office/drawing/2014/main" id="{FAEA0D48-6FB6-2242-B61C-8AA070761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2" y="42837100"/>
          <a:ext cx="996336" cy="1308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800101</xdr:colOff>
      <xdr:row>34</xdr:row>
      <xdr:rowOff>222654</xdr:rowOff>
    </xdr:from>
    <xdr:to>
      <xdr:col>0</xdr:col>
      <xdr:colOff>1752600</xdr:colOff>
      <xdr:row>34</xdr:row>
      <xdr:rowOff>1473200</xdr:rowOff>
    </xdr:to>
    <xdr:pic>
      <xdr:nvPicPr>
        <xdr:cNvPr id="34" name="Picture 33" descr="https://s3-eu-west-1.amazonaws.com/images.linnlive.com/206a45a5f26383c387181e72d15a5e3a/9222ce42-d89f-4fca-b292-a9b32b9b410f.jpg">
          <a:extLst>
            <a:ext uri="{FF2B5EF4-FFF2-40B4-BE49-F238E27FC236}">
              <a16:creationId xmlns="" xmlns:a16="http://schemas.microsoft.com/office/drawing/2014/main" id="{B7993938-3B2F-AB49-8400-3A38A35E6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1" y="44571054"/>
          <a:ext cx="952499" cy="1250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825500</xdr:colOff>
      <xdr:row>35</xdr:row>
      <xdr:rowOff>48744</xdr:rowOff>
    </xdr:from>
    <xdr:to>
      <xdr:col>0</xdr:col>
      <xdr:colOff>1968500</xdr:colOff>
      <xdr:row>35</xdr:row>
      <xdr:rowOff>1549400</xdr:rowOff>
    </xdr:to>
    <xdr:pic>
      <xdr:nvPicPr>
        <xdr:cNvPr id="36" name="Picture 35" descr="https://s3-eu-west-1.amazonaws.com/images.linnlive.com/206a45a5f26383c387181e72d15a5e3a/853428a1-6f7e-4f5a-8f21-54cde53fe4de.jpg">
          <a:extLst>
            <a:ext uri="{FF2B5EF4-FFF2-40B4-BE49-F238E27FC236}">
              <a16:creationId xmlns="" xmlns:a16="http://schemas.microsoft.com/office/drawing/2014/main" id="{33829D56-5991-874A-AF2E-7B91B2B4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6060844"/>
          <a:ext cx="1143000" cy="1500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762001</xdr:colOff>
      <xdr:row>36</xdr:row>
      <xdr:rowOff>113023</xdr:rowOff>
    </xdr:from>
    <xdr:to>
      <xdr:col>0</xdr:col>
      <xdr:colOff>1943100</xdr:colOff>
      <xdr:row>37</xdr:row>
      <xdr:rowOff>2539</xdr:rowOff>
    </xdr:to>
    <xdr:pic>
      <xdr:nvPicPr>
        <xdr:cNvPr id="37" name="Picture 36" descr="https://s3-eu-west-1.amazonaws.com/images.linnlive.com/206a45a5f26383c387181e72d15a5e3a/5ec38352-896c-47c1-9424-a645d98381f6.jpg">
          <a:extLst>
            <a:ext uri="{FF2B5EF4-FFF2-40B4-BE49-F238E27FC236}">
              <a16:creationId xmlns="" xmlns:a16="http://schemas.microsoft.com/office/drawing/2014/main" id="{AF55A61E-2B2A-A94F-9292-927D6A21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1" y="47788823"/>
          <a:ext cx="1181099" cy="155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774701</xdr:colOff>
      <xdr:row>37</xdr:row>
      <xdr:rowOff>116219</xdr:rowOff>
    </xdr:from>
    <xdr:to>
      <xdr:col>0</xdr:col>
      <xdr:colOff>1905000</xdr:colOff>
      <xdr:row>37</xdr:row>
      <xdr:rowOff>1600200</xdr:rowOff>
    </xdr:to>
    <xdr:pic>
      <xdr:nvPicPr>
        <xdr:cNvPr id="38" name="Picture 37" descr="https://s3-eu-west-1.amazonaws.com/images.linnlive.com/206a45a5f26383c387181e72d15a5e3a/70f49d3a-2a16-4b04-8f14-5d4ce1e9b993.jpg">
          <a:extLst>
            <a:ext uri="{FF2B5EF4-FFF2-40B4-BE49-F238E27FC236}">
              <a16:creationId xmlns="" xmlns:a16="http://schemas.microsoft.com/office/drawing/2014/main" id="{F49BADEC-FAC1-DB49-8297-3F844C3BB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1" y="49455719"/>
          <a:ext cx="1130299" cy="1483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733657</xdr:colOff>
      <xdr:row>38</xdr:row>
      <xdr:rowOff>152400</xdr:rowOff>
    </xdr:from>
    <xdr:to>
      <xdr:col>0</xdr:col>
      <xdr:colOff>1778359</xdr:colOff>
      <xdr:row>38</xdr:row>
      <xdr:rowOff>1524000</xdr:rowOff>
    </xdr:to>
    <xdr:pic>
      <xdr:nvPicPr>
        <xdr:cNvPr id="39" name="Picture 38" descr="https://s3-eu-west-1.amazonaws.com/images.linnlive.com/206a45a5f26383c387181e72d15a5e3a/dda20ca1-c7c2-450f-9fe1-3b443cca7764.jpg">
          <a:extLst>
            <a:ext uri="{FF2B5EF4-FFF2-40B4-BE49-F238E27FC236}">
              <a16:creationId xmlns="" xmlns:a16="http://schemas.microsoft.com/office/drawing/2014/main" id="{36891A14-D9B4-9C46-AF51-56194805A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657" y="51155600"/>
          <a:ext cx="104470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700658</xdr:colOff>
      <xdr:row>39</xdr:row>
      <xdr:rowOff>12700</xdr:rowOff>
    </xdr:from>
    <xdr:to>
      <xdr:col>0</xdr:col>
      <xdr:colOff>1803399</xdr:colOff>
      <xdr:row>39</xdr:row>
      <xdr:rowOff>1460500</xdr:rowOff>
    </xdr:to>
    <xdr:pic>
      <xdr:nvPicPr>
        <xdr:cNvPr id="40" name="Picture 39" descr="https://s3-eu-west-1.amazonaws.com/images.linnlive.com/206a45a5f26383c387181e72d15a5e3a/b6514e4a-3af0-4fec-8467-0800526929a2.jpg">
          <a:extLst>
            <a:ext uri="{FF2B5EF4-FFF2-40B4-BE49-F238E27FC236}">
              <a16:creationId xmlns="" xmlns:a16="http://schemas.microsoft.com/office/drawing/2014/main" id="{336265A7-1018-094B-8922-8FFAFCBFE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658" y="52679600"/>
          <a:ext cx="1102741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571499</xdr:colOff>
      <xdr:row>40</xdr:row>
      <xdr:rowOff>55053</xdr:rowOff>
    </xdr:from>
    <xdr:to>
      <xdr:col>0</xdr:col>
      <xdr:colOff>1663700</xdr:colOff>
      <xdr:row>40</xdr:row>
      <xdr:rowOff>1489015</xdr:rowOff>
    </xdr:to>
    <xdr:pic>
      <xdr:nvPicPr>
        <xdr:cNvPr id="41" name="Picture 40" descr="https://s3-eu-west-1.amazonaws.com/images.linnlive.com/206a45a5f26383c387181e72d15a5e3a/b1ec738a-2fa3-4412-809e-a6c8cce57e35.jpg">
          <a:extLst>
            <a:ext uri="{FF2B5EF4-FFF2-40B4-BE49-F238E27FC236}">
              <a16:creationId xmlns="" xmlns:a16="http://schemas.microsoft.com/office/drawing/2014/main" id="{DF357A07-E612-C848-B191-A0BD27740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54385653"/>
          <a:ext cx="1092201" cy="1433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673100</xdr:colOff>
      <xdr:row>41</xdr:row>
      <xdr:rowOff>240106</xdr:rowOff>
    </xdr:from>
    <xdr:to>
      <xdr:col>0</xdr:col>
      <xdr:colOff>1650999</xdr:colOff>
      <xdr:row>41</xdr:row>
      <xdr:rowOff>1524000</xdr:rowOff>
    </xdr:to>
    <xdr:pic>
      <xdr:nvPicPr>
        <xdr:cNvPr id="42" name="Picture 41" descr="https://s3-eu-west-1.amazonaws.com/images.linnlive.com/206a45a5f26383c387181e72d15a5e3a/dadf3003-240d-4079-99af-00db993d2d35.jpg">
          <a:extLst>
            <a:ext uri="{FF2B5EF4-FFF2-40B4-BE49-F238E27FC236}">
              <a16:creationId xmlns="" xmlns:a16="http://schemas.microsoft.com/office/drawing/2014/main" id="{A047339E-D238-9F43-B376-24F3AEE9E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" y="56234406"/>
          <a:ext cx="977899" cy="1283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584201</xdr:colOff>
      <xdr:row>42</xdr:row>
      <xdr:rowOff>139700</xdr:rowOff>
    </xdr:from>
    <xdr:to>
      <xdr:col>0</xdr:col>
      <xdr:colOff>1696615</xdr:colOff>
      <xdr:row>42</xdr:row>
      <xdr:rowOff>1600200</xdr:rowOff>
    </xdr:to>
    <xdr:pic>
      <xdr:nvPicPr>
        <xdr:cNvPr id="44" name="Picture 43" descr="https://s3-eu-west-1.amazonaws.com/images.linnlive.com/206a45a5f26383c387181e72d15a5e3a/6a576007-ec84-4fd8-a992-735264548cb6.jpg">
          <a:extLst>
            <a:ext uri="{FF2B5EF4-FFF2-40B4-BE49-F238E27FC236}">
              <a16:creationId xmlns="" xmlns:a16="http://schemas.microsoft.com/office/drawing/2014/main" id="{21A5A5DE-B7F7-5643-B131-B10CFB9B5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1" y="57746900"/>
          <a:ext cx="1112414" cy="146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685799</xdr:colOff>
      <xdr:row>43</xdr:row>
      <xdr:rowOff>114300</xdr:rowOff>
    </xdr:from>
    <xdr:to>
      <xdr:col>0</xdr:col>
      <xdr:colOff>1672462</xdr:colOff>
      <xdr:row>43</xdr:row>
      <xdr:rowOff>1409700</xdr:rowOff>
    </xdr:to>
    <xdr:pic>
      <xdr:nvPicPr>
        <xdr:cNvPr id="45" name="Picture 44" descr="https://s3-eu-west-1.amazonaws.com/images.linnlive.com/206a45a5f26383c387181e72d15a5e3a/1d865a5d-b98e-4e80-b246-8797e004961a.jpg">
          <a:extLst>
            <a:ext uri="{FF2B5EF4-FFF2-40B4-BE49-F238E27FC236}">
              <a16:creationId xmlns="" xmlns:a16="http://schemas.microsoft.com/office/drawing/2014/main" id="{5DCE6FA6-BE81-3345-ACCD-872FB383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9" y="59334400"/>
          <a:ext cx="98666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1036320</xdr:colOff>
      <xdr:row>0</xdr:row>
      <xdr:rowOff>43180</xdr:rowOff>
    </xdr:from>
    <xdr:to>
      <xdr:col>2</xdr:col>
      <xdr:colOff>2428240</xdr:colOff>
      <xdr:row>9</xdr:row>
      <xdr:rowOff>119380</xdr:rowOff>
    </xdr:to>
    <xdr:pic>
      <xdr:nvPicPr>
        <xdr:cNvPr id="46" name="Picture 45" descr="url.jpg">
          <a:extLst>
            <a:ext uri="{FF2B5EF4-FFF2-40B4-BE49-F238E27FC236}">
              <a16:creationId xmlns="" xmlns:a16="http://schemas.microsoft.com/office/drawing/2014/main" id="{DB60B4AF-2589-4149-8C0B-18D7DCF7D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7340" y="43180"/>
          <a:ext cx="1391920" cy="173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243845</xdr:colOff>
      <xdr:row>0</xdr:row>
      <xdr:rowOff>15240</xdr:rowOff>
    </xdr:from>
    <xdr:to>
      <xdr:col>0</xdr:col>
      <xdr:colOff>2057405</xdr:colOff>
      <xdr:row>9</xdr:row>
      <xdr:rowOff>167640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5" y="15240"/>
          <a:ext cx="1813560" cy="1813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U65"/>
  <sheetViews>
    <sheetView showGridLines="0" tabSelected="1" workbookViewId="0">
      <selection activeCell="A46" sqref="A1:Q46"/>
    </sheetView>
  </sheetViews>
  <sheetFormatPr baseColWidth="10" defaultColWidth="8.83203125" defaultRowHeight="15" x14ac:dyDescent="0.2"/>
  <cols>
    <col min="1" max="1" width="33.83203125" customWidth="1"/>
    <col min="2" max="2" width="29.6640625" customWidth="1"/>
    <col min="3" max="3" width="50.5" bestFit="1" customWidth="1"/>
    <col min="4" max="6" width="6.33203125" customWidth="1"/>
    <col min="7" max="10" width="6.33203125" style="1" customWidth="1"/>
    <col min="11" max="11" width="6.33203125" style="14" customWidth="1"/>
    <col min="12" max="12" width="7.6640625" style="14" customWidth="1"/>
    <col min="13" max="13" width="10.1640625" style="1" bestFit="1" customWidth="1"/>
    <col min="14" max="14" width="15.33203125" style="3" customWidth="1"/>
    <col min="15" max="15" width="10.5" style="8" bestFit="1" customWidth="1"/>
  </cols>
  <sheetData>
    <row r="1" spans="1:15" x14ac:dyDescent="0.2">
      <c r="B1" s="4"/>
      <c r="C1" s="4"/>
      <c r="D1" s="4"/>
      <c r="E1" s="4"/>
      <c r="F1" s="4"/>
      <c r="M1" s="25"/>
      <c r="N1" s="25"/>
      <c r="O1" s="25"/>
    </row>
    <row r="2" spans="1:15" ht="16" x14ac:dyDescent="0.2">
      <c r="B2" s="24" t="s">
        <v>8</v>
      </c>
      <c r="D2" s="7"/>
      <c r="E2" s="23"/>
      <c r="M2" s="25"/>
      <c r="N2" s="25"/>
      <c r="O2" s="25"/>
    </row>
    <row r="3" spans="1:15" x14ac:dyDescent="0.2">
      <c r="B3" s="24" t="s">
        <v>3</v>
      </c>
      <c r="D3" s="7"/>
      <c r="E3" s="7"/>
      <c r="M3" s="25"/>
      <c r="N3" s="25"/>
      <c r="O3" s="25"/>
    </row>
    <row r="4" spans="1:15" x14ac:dyDescent="0.2">
      <c r="B4" s="24" t="s">
        <v>4</v>
      </c>
      <c r="D4" s="7"/>
      <c r="E4" s="7"/>
      <c r="M4" s="25"/>
      <c r="N4" s="25"/>
      <c r="O4" s="25"/>
    </row>
    <row r="5" spans="1:15" x14ac:dyDescent="0.2">
      <c r="B5" s="24" t="s">
        <v>5</v>
      </c>
      <c r="D5" s="7"/>
      <c r="E5" s="7"/>
      <c r="M5" s="25"/>
      <c r="N5" s="25"/>
      <c r="O5" s="25"/>
    </row>
    <row r="6" spans="1:15" x14ac:dyDescent="0.2">
      <c r="B6" s="24" t="s">
        <v>6</v>
      </c>
      <c r="D6" s="7"/>
      <c r="E6" s="7"/>
      <c r="M6" s="25"/>
      <c r="N6" s="25"/>
      <c r="O6" s="25"/>
    </row>
    <row r="7" spans="1:15" x14ac:dyDescent="0.2">
      <c r="B7" s="24" t="s">
        <v>7</v>
      </c>
      <c r="D7" s="7"/>
      <c r="E7" s="7"/>
    </row>
    <row r="8" spans="1:15" x14ac:dyDescent="0.2">
      <c r="C8" s="24"/>
    </row>
    <row r="10" spans="1:15" x14ac:dyDescent="0.2">
      <c r="D10" s="6" t="s">
        <v>21</v>
      </c>
      <c r="E10" s="17"/>
      <c r="F10" s="6">
        <v>3</v>
      </c>
      <c r="G10" s="6">
        <v>4</v>
      </c>
      <c r="H10" s="6">
        <v>5</v>
      </c>
      <c r="I10" s="6">
        <v>6</v>
      </c>
      <c r="J10" s="22">
        <v>7</v>
      </c>
      <c r="K10" s="22">
        <v>8</v>
      </c>
      <c r="L10" s="16">
        <f>SUM(L12:L45)</f>
        <v>182</v>
      </c>
      <c r="M10" s="3"/>
      <c r="N10" s="5">
        <f>SUM(N12:N45)</f>
        <v>3363.8</v>
      </c>
    </row>
    <row r="11" spans="1:15" x14ac:dyDescent="0.2">
      <c r="A11" s="13" t="s">
        <v>10</v>
      </c>
      <c r="B11" s="6" t="s">
        <v>9</v>
      </c>
      <c r="C11" s="6" t="s">
        <v>0</v>
      </c>
      <c r="D11" s="6" t="s">
        <v>21</v>
      </c>
      <c r="E11" s="17">
        <v>36</v>
      </c>
      <c r="F11" s="6">
        <v>38</v>
      </c>
      <c r="G11" s="6">
        <v>40</v>
      </c>
      <c r="H11" s="6">
        <v>42</v>
      </c>
      <c r="I11" s="6">
        <v>44</v>
      </c>
      <c r="J11" s="22">
        <v>46</v>
      </c>
      <c r="K11" s="22">
        <v>48</v>
      </c>
      <c r="L11" s="6" t="s">
        <v>16</v>
      </c>
      <c r="M11" s="5" t="s">
        <v>1</v>
      </c>
      <c r="N11" s="9" t="s">
        <v>2</v>
      </c>
    </row>
    <row r="12" spans="1:15" ht="137" customHeight="1" x14ac:dyDescent="0.2">
      <c r="A12" s="18"/>
      <c r="B12" s="2" t="s">
        <v>18</v>
      </c>
      <c r="C12" s="2" t="s">
        <v>19</v>
      </c>
      <c r="D12" s="2"/>
      <c r="E12" s="2"/>
      <c r="F12" s="2">
        <v>2</v>
      </c>
      <c r="G12" s="2"/>
      <c r="H12" s="2">
        <v>1</v>
      </c>
      <c r="I12" s="2"/>
      <c r="J12" s="2"/>
      <c r="K12" s="2"/>
      <c r="L12" s="2">
        <f>SUM(D12:K12)</f>
        <v>3</v>
      </c>
      <c r="M12" s="10">
        <v>12.34</v>
      </c>
      <c r="N12" s="10">
        <f>SUM(M12*L12)</f>
        <v>37.019999999999996</v>
      </c>
      <c r="O12"/>
    </row>
    <row r="13" spans="1:15" ht="137" customHeight="1" x14ac:dyDescent="0.2">
      <c r="A13" s="18"/>
      <c r="B13" s="2" t="s">
        <v>17</v>
      </c>
      <c r="C13" s="2" t="s">
        <v>20</v>
      </c>
      <c r="D13" s="2"/>
      <c r="E13" s="2"/>
      <c r="F13" s="2">
        <v>4</v>
      </c>
      <c r="G13" s="2">
        <v>4</v>
      </c>
      <c r="H13" s="2">
        <v>3</v>
      </c>
      <c r="I13" s="2">
        <v>1</v>
      </c>
      <c r="J13" s="2"/>
      <c r="K13" s="2"/>
      <c r="L13" s="2">
        <f t="shared" ref="L13:L45" si="0">SUM(D13:K13)</f>
        <v>12</v>
      </c>
      <c r="M13" s="10">
        <v>22</v>
      </c>
      <c r="N13" s="10">
        <f t="shared" ref="N13:N45" si="1">SUM(M13*L13)</f>
        <v>264</v>
      </c>
      <c r="O13"/>
    </row>
    <row r="14" spans="1:15" s="15" customFormat="1" ht="137" customHeight="1" x14ac:dyDescent="0.2">
      <c r="A14" s="19"/>
      <c r="B14" s="2" t="s">
        <v>25</v>
      </c>
      <c r="C14" s="2" t="s">
        <v>24</v>
      </c>
      <c r="D14" s="2"/>
      <c r="E14" s="2"/>
      <c r="F14" s="2"/>
      <c r="G14" s="2"/>
      <c r="H14" s="2"/>
      <c r="I14" s="2"/>
      <c r="J14" s="2"/>
      <c r="K14" s="2">
        <v>1</v>
      </c>
      <c r="L14" s="2">
        <f t="shared" si="0"/>
        <v>1</v>
      </c>
      <c r="M14" s="10">
        <v>14</v>
      </c>
      <c r="N14" s="10">
        <f t="shared" si="1"/>
        <v>14</v>
      </c>
    </row>
    <row r="15" spans="1:15" ht="137" customHeight="1" x14ac:dyDescent="0.2">
      <c r="A15" s="18"/>
      <c r="B15" s="2" t="s">
        <v>23</v>
      </c>
      <c r="C15" s="2" t="s">
        <v>22</v>
      </c>
      <c r="D15" s="2"/>
      <c r="E15" s="2"/>
      <c r="F15" s="2"/>
      <c r="G15" s="2"/>
      <c r="H15" s="2">
        <v>2</v>
      </c>
      <c r="I15" s="2">
        <v>2</v>
      </c>
      <c r="J15" s="2"/>
      <c r="K15" s="2"/>
      <c r="L15" s="2">
        <f t="shared" si="0"/>
        <v>4</v>
      </c>
      <c r="M15" s="10">
        <v>15</v>
      </c>
      <c r="N15" s="10">
        <f t="shared" si="1"/>
        <v>60</v>
      </c>
      <c r="O15"/>
    </row>
    <row r="16" spans="1:15" ht="137" customHeight="1" x14ac:dyDescent="0.2">
      <c r="A16" s="18"/>
      <c r="B16" s="2" t="s">
        <v>11</v>
      </c>
      <c r="C16" s="2" t="s">
        <v>12</v>
      </c>
      <c r="D16" s="2">
        <v>7</v>
      </c>
      <c r="E16" s="2"/>
      <c r="F16" s="2"/>
      <c r="G16" s="2"/>
      <c r="H16" s="2"/>
      <c r="I16" s="2"/>
      <c r="J16" s="2"/>
      <c r="K16" s="2"/>
      <c r="L16" s="2">
        <f t="shared" si="0"/>
        <v>7</v>
      </c>
      <c r="M16" s="10">
        <v>8</v>
      </c>
      <c r="N16" s="10">
        <f t="shared" si="1"/>
        <v>56</v>
      </c>
      <c r="O16"/>
    </row>
    <row r="17" spans="1:21" ht="153" customHeight="1" x14ac:dyDescent="0.2">
      <c r="A17" s="18"/>
      <c r="B17" s="2" t="s">
        <v>26</v>
      </c>
      <c r="C17" s="2" t="s">
        <v>28</v>
      </c>
      <c r="D17" s="2"/>
      <c r="E17" s="2"/>
      <c r="F17" s="2">
        <v>3</v>
      </c>
      <c r="G17" s="2">
        <v>1</v>
      </c>
      <c r="H17" s="2"/>
      <c r="I17" s="2"/>
      <c r="J17" s="2"/>
      <c r="K17" s="2"/>
      <c r="L17" s="2">
        <f t="shared" si="0"/>
        <v>4</v>
      </c>
      <c r="M17" s="10">
        <v>15</v>
      </c>
      <c r="N17" s="10">
        <f t="shared" si="1"/>
        <v>60</v>
      </c>
      <c r="O17"/>
    </row>
    <row r="18" spans="1:21" ht="131" customHeight="1" x14ac:dyDescent="0.2">
      <c r="A18" s="12"/>
      <c r="B18" s="2" t="s">
        <v>29</v>
      </c>
      <c r="C18" s="2" t="s">
        <v>27</v>
      </c>
      <c r="D18" s="2"/>
      <c r="E18" s="2"/>
      <c r="F18" s="2">
        <v>1</v>
      </c>
      <c r="G18" s="2">
        <v>1</v>
      </c>
      <c r="H18" s="2"/>
      <c r="I18" s="2"/>
      <c r="J18" s="2"/>
      <c r="K18" s="2"/>
      <c r="L18" s="2">
        <f t="shared" si="0"/>
        <v>2</v>
      </c>
      <c r="M18" s="10">
        <v>1</v>
      </c>
      <c r="N18" s="10">
        <f t="shared" si="1"/>
        <v>2</v>
      </c>
      <c r="O18"/>
      <c r="P18" s="11"/>
      <c r="Q18" s="11"/>
      <c r="R18" s="11"/>
      <c r="S18" s="11"/>
      <c r="T18" s="11"/>
      <c r="U18" s="11"/>
    </row>
    <row r="19" spans="1:21" ht="131" customHeight="1" x14ac:dyDescent="0.2">
      <c r="A19" s="12"/>
      <c r="B19" s="2" t="s">
        <v>30</v>
      </c>
      <c r="C19" s="2" t="s">
        <v>31</v>
      </c>
      <c r="D19" s="2"/>
      <c r="E19" s="2"/>
      <c r="F19" s="2">
        <v>1</v>
      </c>
      <c r="G19" s="2"/>
      <c r="H19" s="2"/>
      <c r="I19" s="2"/>
      <c r="J19" s="2"/>
      <c r="K19" s="2"/>
      <c r="L19" s="2">
        <f t="shared" si="0"/>
        <v>1</v>
      </c>
      <c r="M19" s="10">
        <v>15</v>
      </c>
      <c r="N19" s="10">
        <f t="shared" si="1"/>
        <v>15</v>
      </c>
      <c r="O19"/>
      <c r="P19" s="11"/>
      <c r="Q19" s="11"/>
      <c r="R19" s="11"/>
      <c r="S19" s="11"/>
      <c r="T19" s="11"/>
      <c r="U19" s="11"/>
    </row>
    <row r="20" spans="1:21" ht="131" customHeight="1" x14ac:dyDescent="0.2">
      <c r="A20" s="12"/>
      <c r="B20" s="2" t="s">
        <v>32</v>
      </c>
      <c r="C20" s="2" t="s">
        <v>13</v>
      </c>
      <c r="D20" s="2"/>
      <c r="E20" s="2"/>
      <c r="F20" s="2">
        <v>1</v>
      </c>
      <c r="G20" s="2"/>
      <c r="H20" s="2"/>
      <c r="I20" s="2"/>
      <c r="J20" s="2"/>
      <c r="K20" s="2"/>
      <c r="L20" s="2">
        <f t="shared" si="0"/>
        <v>1</v>
      </c>
      <c r="M20" s="10">
        <v>15</v>
      </c>
      <c r="N20" s="10">
        <f t="shared" si="1"/>
        <v>15</v>
      </c>
      <c r="O20"/>
      <c r="P20" s="11"/>
      <c r="Q20" s="11"/>
      <c r="R20" s="11"/>
      <c r="S20" s="11"/>
      <c r="T20" s="11"/>
      <c r="U20" s="11"/>
    </row>
    <row r="21" spans="1:21" ht="131" customHeight="1" x14ac:dyDescent="0.2">
      <c r="A21" s="12"/>
      <c r="B21" s="2" t="s">
        <v>33</v>
      </c>
      <c r="C21" s="2" t="s">
        <v>34</v>
      </c>
      <c r="D21" s="2"/>
      <c r="E21" s="2"/>
      <c r="F21" s="2"/>
      <c r="G21" s="2"/>
      <c r="H21" s="2">
        <v>6</v>
      </c>
      <c r="I21" s="2"/>
      <c r="J21" s="2"/>
      <c r="K21" s="2"/>
      <c r="L21" s="2">
        <f t="shared" si="0"/>
        <v>6</v>
      </c>
      <c r="M21" s="10">
        <v>15</v>
      </c>
      <c r="N21" s="10">
        <f t="shared" si="1"/>
        <v>90</v>
      </c>
      <c r="O21"/>
      <c r="P21" s="11"/>
      <c r="Q21" s="11"/>
      <c r="R21" s="11"/>
      <c r="S21" s="11"/>
      <c r="T21" s="11"/>
      <c r="U21" s="11"/>
    </row>
    <row r="22" spans="1:21" ht="131" customHeight="1" x14ac:dyDescent="0.2">
      <c r="A22" s="12"/>
      <c r="B22" s="2" t="s">
        <v>35</v>
      </c>
      <c r="C22" s="2" t="s">
        <v>36</v>
      </c>
      <c r="D22" s="2"/>
      <c r="E22" s="2"/>
      <c r="F22" s="2">
        <v>1</v>
      </c>
      <c r="G22" s="2">
        <v>3</v>
      </c>
      <c r="H22" s="2">
        <v>2</v>
      </c>
      <c r="I22" s="2">
        <v>2</v>
      </c>
      <c r="J22" s="2">
        <v>2</v>
      </c>
      <c r="K22" s="2"/>
      <c r="L22" s="2">
        <f t="shared" si="0"/>
        <v>10</v>
      </c>
      <c r="M22" s="10">
        <v>16.93</v>
      </c>
      <c r="N22" s="10">
        <f t="shared" si="1"/>
        <v>169.3</v>
      </c>
      <c r="O22"/>
      <c r="P22" s="11"/>
      <c r="Q22" s="11"/>
      <c r="R22" s="11"/>
      <c r="S22" s="11"/>
      <c r="T22" s="11"/>
      <c r="U22" s="11"/>
    </row>
    <row r="23" spans="1:21" ht="131" customHeight="1" x14ac:dyDescent="0.2">
      <c r="A23" s="12"/>
      <c r="B23" s="2" t="s">
        <v>38</v>
      </c>
      <c r="C23" s="2" t="s">
        <v>37</v>
      </c>
      <c r="D23" s="2"/>
      <c r="E23" s="2"/>
      <c r="F23" s="2">
        <v>3</v>
      </c>
      <c r="G23" s="2">
        <v>4</v>
      </c>
      <c r="H23" s="2"/>
      <c r="I23" s="2"/>
      <c r="J23" s="2"/>
      <c r="K23" s="2"/>
      <c r="L23" s="2">
        <f t="shared" si="0"/>
        <v>7</v>
      </c>
      <c r="M23" s="10">
        <v>9</v>
      </c>
      <c r="N23" s="10">
        <f t="shared" si="1"/>
        <v>63</v>
      </c>
      <c r="O23"/>
      <c r="P23" s="11"/>
      <c r="Q23" s="11"/>
      <c r="R23" s="11"/>
      <c r="S23" s="11"/>
      <c r="T23" s="11"/>
      <c r="U23" s="11"/>
    </row>
    <row r="24" spans="1:21" ht="131" customHeight="1" x14ac:dyDescent="0.2">
      <c r="A24" s="12"/>
      <c r="B24" s="2" t="s">
        <v>40</v>
      </c>
      <c r="C24" s="2" t="s">
        <v>39</v>
      </c>
      <c r="D24" s="2"/>
      <c r="E24" s="2"/>
      <c r="F24" s="2"/>
      <c r="G24" s="2">
        <v>2</v>
      </c>
      <c r="H24" s="2">
        <v>2</v>
      </c>
      <c r="I24" s="2">
        <v>2</v>
      </c>
      <c r="J24" s="2"/>
      <c r="K24" s="2"/>
      <c r="L24" s="2">
        <f t="shared" si="0"/>
        <v>6</v>
      </c>
      <c r="M24" s="10">
        <v>15</v>
      </c>
      <c r="N24" s="10">
        <f t="shared" si="1"/>
        <v>90</v>
      </c>
      <c r="O24"/>
    </row>
    <row r="25" spans="1:21" ht="131" customHeight="1" x14ac:dyDescent="0.2">
      <c r="A25" s="12"/>
      <c r="B25" s="2" t="s">
        <v>42</v>
      </c>
      <c r="C25" s="2" t="s">
        <v>41</v>
      </c>
      <c r="D25" s="2"/>
      <c r="E25" s="2"/>
      <c r="F25" s="2"/>
      <c r="G25" s="2"/>
      <c r="H25" s="2"/>
      <c r="I25" s="2">
        <v>2</v>
      </c>
      <c r="J25" s="2">
        <v>3</v>
      </c>
      <c r="K25" s="2">
        <v>3</v>
      </c>
      <c r="L25" s="2">
        <f t="shared" si="0"/>
        <v>8</v>
      </c>
      <c r="M25" s="10">
        <v>18</v>
      </c>
      <c r="N25" s="10">
        <f t="shared" si="1"/>
        <v>144</v>
      </c>
      <c r="O25"/>
    </row>
    <row r="26" spans="1:21" ht="131" customHeight="1" x14ac:dyDescent="0.2">
      <c r="A26" s="12"/>
      <c r="B26" s="2" t="s">
        <v>44</v>
      </c>
      <c r="C26" s="2" t="s">
        <v>43</v>
      </c>
      <c r="D26" s="2"/>
      <c r="E26" s="2"/>
      <c r="F26" s="2"/>
      <c r="G26" s="2">
        <v>1</v>
      </c>
      <c r="H26" s="2"/>
      <c r="I26" s="2"/>
      <c r="J26" s="2">
        <v>2</v>
      </c>
      <c r="K26" s="2"/>
      <c r="L26" s="2">
        <f t="shared" si="0"/>
        <v>3</v>
      </c>
      <c r="M26" s="10">
        <v>18</v>
      </c>
      <c r="N26" s="10">
        <f t="shared" si="1"/>
        <v>54</v>
      </c>
      <c r="O26"/>
    </row>
    <row r="27" spans="1:21" ht="131" customHeight="1" x14ac:dyDescent="0.2">
      <c r="A27" s="12"/>
      <c r="B27" s="2" t="s">
        <v>14</v>
      </c>
      <c r="C27" s="2" t="s">
        <v>45</v>
      </c>
      <c r="D27" s="2"/>
      <c r="E27" s="2"/>
      <c r="F27" s="2"/>
      <c r="G27" s="2"/>
      <c r="H27" s="2"/>
      <c r="I27" s="2"/>
      <c r="J27" s="2">
        <v>1</v>
      </c>
      <c r="K27" s="2"/>
      <c r="L27" s="2">
        <f t="shared" si="0"/>
        <v>1</v>
      </c>
      <c r="M27" s="10">
        <v>18</v>
      </c>
      <c r="N27" s="10">
        <f t="shared" si="1"/>
        <v>18</v>
      </c>
      <c r="O27"/>
    </row>
    <row r="28" spans="1:21" ht="131" customHeight="1" x14ac:dyDescent="0.2">
      <c r="A28" s="12"/>
      <c r="B28" s="2" t="s">
        <v>47</v>
      </c>
      <c r="C28" s="2" t="s">
        <v>46</v>
      </c>
      <c r="D28" s="2"/>
      <c r="E28" s="2"/>
      <c r="F28" s="2"/>
      <c r="G28" s="2">
        <v>1</v>
      </c>
      <c r="H28" s="2"/>
      <c r="I28" s="2"/>
      <c r="J28" s="2"/>
      <c r="K28" s="2"/>
      <c r="L28" s="2">
        <f t="shared" si="0"/>
        <v>1</v>
      </c>
      <c r="M28" s="10">
        <v>16</v>
      </c>
      <c r="N28" s="10">
        <f t="shared" si="1"/>
        <v>16</v>
      </c>
      <c r="O28"/>
    </row>
    <row r="29" spans="1:21" ht="131" customHeight="1" x14ac:dyDescent="0.2">
      <c r="A29" s="21"/>
      <c r="B29" s="2" t="s">
        <v>49</v>
      </c>
      <c r="C29" s="2" t="s">
        <v>48</v>
      </c>
      <c r="D29" s="2"/>
      <c r="E29" s="2"/>
      <c r="F29" s="2"/>
      <c r="G29" s="2"/>
      <c r="H29" s="2"/>
      <c r="I29" s="2">
        <v>1</v>
      </c>
      <c r="J29" s="2"/>
      <c r="K29" s="2"/>
      <c r="L29" s="2">
        <f t="shared" si="0"/>
        <v>1</v>
      </c>
      <c r="M29" s="10">
        <v>16</v>
      </c>
      <c r="N29" s="10">
        <f t="shared" si="1"/>
        <v>16</v>
      </c>
      <c r="O29"/>
    </row>
    <row r="30" spans="1:21" ht="131" customHeight="1" x14ac:dyDescent="0.2">
      <c r="A30" s="12"/>
      <c r="B30" s="20" t="s">
        <v>51</v>
      </c>
      <c r="C30" s="2" t="s">
        <v>50</v>
      </c>
      <c r="D30" s="2"/>
      <c r="E30" s="2"/>
      <c r="F30" s="2"/>
      <c r="G30" s="2">
        <v>1</v>
      </c>
      <c r="H30" s="2">
        <v>3</v>
      </c>
      <c r="I30" s="2">
        <v>4</v>
      </c>
      <c r="J30" s="2">
        <v>4</v>
      </c>
      <c r="K30" s="2">
        <v>1</v>
      </c>
      <c r="L30" s="2">
        <f t="shared" si="0"/>
        <v>13</v>
      </c>
      <c r="M30" s="10">
        <v>24</v>
      </c>
      <c r="N30" s="10">
        <f t="shared" si="1"/>
        <v>312</v>
      </c>
      <c r="O30"/>
    </row>
    <row r="31" spans="1:21" ht="131" customHeight="1" x14ac:dyDescent="0.2">
      <c r="A31" s="12"/>
      <c r="B31" s="2" t="s">
        <v>53</v>
      </c>
      <c r="C31" s="2" t="s">
        <v>52</v>
      </c>
      <c r="D31" s="2"/>
      <c r="E31" s="2"/>
      <c r="F31" s="2"/>
      <c r="G31" s="2"/>
      <c r="H31" s="2"/>
      <c r="I31" s="2"/>
      <c r="J31" s="2">
        <v>1</v>
      </c>
      <c r="K31" s="2"/>
      <c r="L31" s="2">
        <f t="shared" si="0"/>
        <v>1</v>
      </c>
      <c r="M31" s="10">
        <v>22</v>
      </c>
      <c r="N31" s="10">
        <f t="shared" si="1"/>
        <v>22</v>
      </c>
      <c r="O31"/>
    </row>
    <row r="32" spans="1:21" ht="131" customHeight="1" x14ac:dyDescent="0.2">
      <c r="A32" s="12"/>
      <c r="B32" s="2" t="s">
        <v>55</v>
      </c>
      <c r="C32" s="2" t="s">
        <v>54</v>
      </c>
      <c r="D32" s="2"/>
      <c r="E32" s="2"/>
      <c r="F32" s="2"/>
      <c r="G32" s="2">
        <v>10</v>
      </c>
      <c r="H32" s="2"/>
      <c r="I32" s="2"/>
      <c r="J32" s="2"/>
      <c r="K32" s="2"/>
      <c r="L32" s="2">
        <f t="shared" si="0"/>
        <v>10</v>
      </c>
      <c r="M32" s="10">
        <v>14</v>
      </c>
      <c r="N32" s="10">
        <f t="shared" si="1"/>
        <v>140</v>
      </c>
      <c r="O32"/>
    </row>
    <row r="33" spans="1:15" ht="131" customHeight="1" x14ac:dyDescent="0.2">
      <c r="A33" s="12"/>
      <c r="B33" s="2" t="s">
        <v>57</v>
      </c>
      <c r="C33" s="2" t="s">
        <v>56</v>
      </c>
      <c r="D33" s="2"/>
      <c r="E33" s="2">
        <v>1</v>
      </c>
      <c r="F33" s="2">
        <v>2</v>
      </c>
      <c r="G33" s="2">
        <v>2</v>
      </c>
      <c r="H33" s="2">
        <v>1</v>
      </c>
      <c r="I33" s="2">
        <v>2</v>
      </c>
      <c r="J33" s="2"/>
      <c r="K33" s="2"/>
      <c r="L33" s="2">
        <f t="shared" si="0"/>
        <v>8</v>
      </c>
      <c r="M33" s="10">
        <v>37.81</v>
      </c>
      <c r="N33" s="10">
        <f t="shared" si="1"/>
        <v>302.48</v>
      </c>
      <c r="O33"/>
    </row>
    <row r="34" spans="1:15" ht="131" customHeight="1" x14ac:dyDescent="0.2">
      <c r="A34" s="12"/>
      <c r="B34" s="2" t="s">
        <v>59</v>
      </c>
      <c r="C34" s="2" t="s">
        <v>58</v>
      </c>
      <c r="D34" s="2"/>
      <c r="E34" s="2"/>
      <c r="F34" s="2">
        <v>1</v>
      </c>
      <c r="G34" s="2"/>
      <c r="H34" s="2">
        <v>1</v>
      </c>
      <c r="I34" s="2"/>
      <c r="J34" s="2"/>
      <c r="K34" s="2"/>
      <c r="L34" s="2">
        <f t="shared" si="0"/>
        <v>2</v>
      </c>
      <c r="M34" s="10">
        <v>26</v>
      </c>
      <c r="N34" s="10">
        <f t="shared" si="1"/>
        <v>52</v>
      </c>
      <c r="O34"/>
    </row>
    <row r="35" spans="1:15" ht="131" customHeight="1" x14ac:dyDescent="0.2">
      <c r="A35" s="12"/>
      <c r="B35" s="2" t="s">
        <v>61</v>
      </c>
      <c r="C35" s="2" t="s">
        <v>60</v>
      </c>
      <c r="D35" s="2"/>
      <c r="E35" s="2"/>
      <c r="F35" s="2"/>
      <c r="G35" s="2">
        <v>1</v>
      </c>
      <c r="H35" s="2">
        <v>1</v>
      </c>
      <c r="I35" s="2">
        <v>2</v>
      </c>
      <c r="J35" s="2">
        <v>2</v>
      </c>
      <c r="K35" s="2"/>
      <c r="L35" s="2">
        <f t="shared" si="0"/>
        <v>6</v>
      </c>
      <c r="M35" s="10">
        <v>18</v>
      </c>
      <c r="N35" s="10">
        <f t="shared" si="1"/>
        <v>108</v>
      </c>
      <c r="O35"/>
    </row>
    <row r="36" spans="1:15" ht="131" customHeight="1" x14ac:dyDescent="0.2">
      <c r="A36" s="12"/>
      <c r="B36" s="2" t="s">
        <v>63</v>
      </c>
      <c r="C36" s="2" t="s">
        <v>62</v>
      </c>
      <c r="D36" s="2"/>
      <c r="E36" s="2"/>
      <c r="F36" s="2">
        <v>1</v>
      </c>
      <c r="G36" s="2">
        <v>2</v>
      </c>
      <c r="H36" s="2">
        <v>2</v>
      </c>
      <c r="I36" s="2">
        <v>2</v>
      </c>
      <c r="J36" s="2"/>
      <c r="K36" s="2"/>
      <c r="L36" s="2">
        <f t="shared" si="0"/>
        <v>7</v>
      </c>
      <c r="M36" s="10">
        <v>18</v>
      </c>
      <c r="N36" s="10">
        <f t="shared" si="1"/>
        <v>126</v>
      </c>
      <c r="O36"/>
    </row>
    <row r="37" spans="1:15" ht="131" customHeight="1" x14ac:dyDescent="0.2">
      <c r="A37" s="12"/>
      <c r="B37" s="2" t="s">
        <v>65</v>
      </c>
      <c r="C37" s="2" t="s">
        <v>64</v>
      </c>
      <c r="D37" s="2"/>
      <c r="E37" s="2">
        <v>4</v>
      </c>
      <c r="F37" s="2"/>
      <c r="G37" s="2"/>
      <c r="H37" s="2">
        <v>3</v>
      </c>
      <c r="I37" s="2">
        <v>2</v>
      </c>
      <c r="J37" s="2"/>
      <c r="K37" s="2"/>
      <c r="L37" s="2">
        <f t="shared" si="0"/>
        <v>9</v>
      </c>
      <c r="M37" s="10">
        <v>18</v>
      </c>
      <c r="N37" s="10">
        <f t="shared" si="1"/>
        <v>162</v>
      </c>
      <c r="O37"/>
    </row>
    <row r="38" spans="1:15" ht="131" customHeight="1" x14ac:dyDescent="0.2">
      <c r="A38" s="12"/>
      <c r="B38" s="2" t="s">
        <v>67</v>
      </c>
      <c r="C38" s="2" t="s">
        <v>66</v>
      </c>
      <c r="D38" s="2"/>
      <c r="E38" s="2"/>
      <c r="F38" s="2">
        <v>2</v>
      </c>
      <c r="G38" s="2">
        <v>8</v>
      </c>
      <c r="H38" s="2"/>
      <c r="I38" s="2"/>
      <c r="J38" s="2"/>
      <c r="K38" s="2"/>
      <c r="L38" s="2">
        <f t="shared" si="0"/>
        <v>10</v>
      </c>
      <c r="M38" s="10">
        <v>18</v>
      </c>
      <c r="N38" s="10">
        <f t="shared" si="1"/>
        <v>180</v>
      </c>
      <c r="O38"/>
    </row>
    <row r="39" spans="1:15" ht="131" customHeight="1" x14ac:dyDescent="0.2">
      <c r="A39" s="12"/>
      <c r="B39" s="2" t="s">
        <v>69</v>
      </c>
      <c r="C39" s="2" t="s">
        <v>68</v>
      </c>
      <c r="D39" s="2"/>
      <c r="E39" s="2"/>
      <c r="F39" s="2">
        <v>5</v>
      </c>
      <c r="G39" s="2">
        <v>1</v>
      </c>
      <c r="H39" s="2">
        <v>1</v>
      </c>
      <c r="I39" s="2">
        <v>1</v>
      </c>
      <c r="J39" s="2">
        <v>1</v>
      </c>
      <c r="K39" s="2"/>
      <c r="L39" s="2">
        <f t="shared" si="0"/>
        <v>9</v>
      </c>
      <c r="M39" s="10">
        <v>18</v>
      </c>
      <c r="N39" s="10">
        <f t="shared" si="1"/>
        <v>162</v>
      </c>
      <c r="O39"/>
    </row>
    <row r="40" spans="1:15" ht="131" customHeight="1" x14ac:dyDescent="0.2">
      <c r="A40" s="12"/>
      <c r="B40" s="2" t="s">
        <v>71</v>
      </c>
      <c r="C40" s="2" t="s">
        <v>70</v>
      </c>
      <c r="D40" s="2"/>
      <c r="E40" s="2"/>
      <c r="F40" s="2">
        <v>1</v>
      </c>
      <c r="G40" s="2">
        <v>2</v>
      </c>
      <c r="H40" s="2">
        <v>1</v>
      </c>
      <c r="I40" s="2"/>
      <c r="J40" s="2"/>
      <c r="K40" s="2"/>
      <c r="L40" s="2">
        <f t="shared" si="0"/>
        <v>4</v>
      </c>
      <c r="M40" s="10">
        <v>18</v>
      </c>
      <c r="N40" s="10">
        <f t="shared" si="1"/>
        <v>72</v>
      </c>
      <c r="O40"/>
    </row>
    <row r="41" spans="1:15" ht="131" customHeight="1" x14ac:dyDescent="0.2">
      <c r="A41" s="12"/>
      <c r="B41" s="2" t="s">
        <v>73</v>
      </c>
      <c r="C41" s="2" t="s">
        <v>72</v>
      </c>
      <c r="D41" s="2"/>
      <c r="E41" s="2"/>
      <c r="F41" s="2"/>
      <c r="G41" s="2"/>
      <c r="H41" s="2"/>
      <c r="I41" s="2">
        <v>1</v>
      </c>
      <c r="J41" s="2"/>
      <c r="K41" s="2"/>
      <c r="L41" s="2">
        <f t="shared" si="0"/>
        <v>1</v>
      </c>
      <c r="M41" s="10">
        <v>22</v>
      </c>
      <c r="N41" s="10">
        <f t="shared" si="1"/>
        <v>22</v>
      </c>
      <c r="O41"/>
    </row>
    <row r="42" spans="1:15" ht="127" customHeight="1" x14ac:dyDescent="0.2">
      <c r="A42" s="12"/>
      <c r="B42" s="2" t="s">
        <v>75</v>
      </c>
      <c r="C42" s="2" t="s">
        <v>74</v>
      </c>
      <c r="D42" s="2"/>
      <c r="E42" s="2"/>
      <c r="F42" s="2">
        <v>2</v>
      </c>
      <c r="G42" s="2"/>
      <c r="H42" s="2"/>
      <c r="I42" s="2"/>
      <c r="J42" s="2"/>
      <c r="K42" s="2"/>
      <c r="L42" s="2">
        <f t="shared" si="0"/>
        <v>2</v>
      </c>
      <c r="M42" s="10">
        <v>22</v>
      </c>
      <c r="N42" s="10">
        <f t="shared" si="1"/>
        <v>44</v>
      </c>
      <c r="O42"/>
    </row>
    <row r="43" spans="1:15" ht="127" customHeight="1" x14ac:dyDescent="0.2">
      <c r="A43" s="12"/>
      <c r="B43" s="2" t="s">
        <v>77</v>
      </c>
      <c r="C43" s="2" t="s">
        <v>76</v>
      </c>
      <c r="D43" s="2"/>
      <c r="E43" s="2"/>
      <c r="F43" s="2"/>
      <c r="G43" s="2">
        <v>2</v>
      </c>
      <c r="H43" s="2"/>
      <c r="I43" s="2">
        <v>3</v>
      </c>
      <c r="J43" s="2"/>
      <c r="K43" s="2"/>
      <c r="L43" s="2">
        <f t="shared" si="0"/>
        <v>5</v>
      </c>
      <c r="M43" s="10">
        <v>17</v>
      </c>
      <c r="N43" s="10">
        <f t="shared" si="1"/>
        <v>85</v>
      </c>
      <c r="O43"/>
    </row>
    <row r="44" spans="1:15" ht="127" customHeight="1" x14ac:dyDescent="0.2">
      <c r="A44" s="12"/>
      <c r="B44" s="2" t="s">
        <v>79</v>
      </c>
      <c r="C44" s="2" t="s">
        <v>78</v>
      </c>
      <c r="D44" s="2"/>
      <c r="E44" s="2"/>
      <c r="F44" s="2">
        <v>4</v>
      </c>
      <c r="G44" s="2">
        <v>5</v>
      </c>
      <c r="H44" s="2">
        <v>4</v>
      </c>
      <c r="I44" s="2">
        <v>2</v>
      </c>
      <c r="J44" s="2"/>
      <c r="K44" s="2"/>
      <c r="L44" s="2">
        <f t="shared" si="0"/>
        <v>15</v>
      </c>
      <c r="M44" s="10">
        <v>25</v>
      </c>
      <c r="N44" s="10">
        <f t="shared" si="1"/>
        <v>375</v>
      </c>
      <c r="O44"/>
    </row>
    <row r="45" spans="1:15" ht="127" customHeight="1" x14ac:dyDescent="0.2">
      <c r="A45" s="12"/>
      <c r="B45" s="2" t="s">
        <v>80</v>
      </c>
      <c r="C45" s="2" t="s">
        <v>15</v>
      </c>
      <c r="D45" s="2">
        <v>2</v>
      </c>
      <c r="E45" s="2"/>
      <c r="F45" s="2"/>
      <c r="G45" s="2"/>
      <c r="H45" s="2"/>
      <c r="I45" s="2"/>
      <c r="J45" s="2"/>
      <c r="K45" s="2"/>
      <c r="L45" s="2">
        <f t="shared" si="0"/>
        <v>2</v>
      </c>
      <c r="M45" s="10">
        <v>8</v>
      </c>
      <c r="N45" s="10">
        <f t="shared" si="1"/>
        <v>16</v>
      </c>
      <c r="O45"/>
    </row>
    <row r="46" spans="1:15" x14ac:dyDescent="0.2">
      <c r="M46"/>
    </row>
    <row r="47" spans="1:15" x14ac:dyDescent="0.2">
      <c r="M47"/>
    </row>
    <row r="48" spans="1:15" x14ac:dyDescent="0.2">
      <c r="M48"/>
    </row>
    <row r="49" spans="13:13" x14ac:dyDescent="0.2">
      <c r="M49"/>
    </row>
    <row r="50" spans="13:13" x14ac:dyDescent="0.2">
      <c r="M50"/>
    </row>
    <row r="51" spans="13:13" x14ac:dyDescent="0.2">
      <c r="M51"/>
    </row>
    <row r="52" spans="13:13" x14ac:dyDescent="0.2">
      <c r="M52"/>
    </row>
    <row r="53" spans="13:13" x14ac:dyDescent="0.2">
      <c r="M53"/>
    </row>
    <row r="54" spans="13:13" x14ac:dyDescent="0.2">
      <c r="M54"/>
    </row>
    <row r="55" spans="13:13" x14ac:dyDescent="0.2">
      <c r="M55"/>
    </row>
    <row r="56" spans="13:13" x14ac:dyDescent="0.2">
      <c r="M56"/>
    </row>
    <row r="59" spans="13:13" x14ac:dyDescent="0.2">
      <c r="M59" s="3"/>
    </row>
    <row r="60" spans="13:13" x14ac:dyDescent="0.2">
      <c r="M60" s="3"/>
    </row>
    <row r="61" spans="13:13" x14ac:dyDescent="0.2">
      <c r="M61" s="3"/>
    </row>
    <row r="62" spans="13:13" x14ac:dyDescent="0.2">
      <c r="M62" s="3"/>
    </row>
    <row r="65" spans="13:13" x14ac:dyDescent="0.2">
      <c r="M65" s="3"/>
    </row>
  </sheetData>
  <mergeCells count="1">
    <mergeCell ref="M1:O6"/>
  </mergeCells>
  <phoneticPr fontId="3" type="noConversion"/>
  <pageMargins left="0.7" right="0.7" top="0.75" bottom="0.75" header="0.3" footer="0.3"/>
  <pageSetup paperSize="9" scale="36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2018-05-21T09:55:32Z</dcterms:created>
  <dcterms:modified xsi:type="dcterms:W3CDTF">2018-09-21T13:38:29Z</dcterms:modified>
</cp:coreProperties>
</file>